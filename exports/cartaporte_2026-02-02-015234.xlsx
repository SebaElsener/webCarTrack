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2" autoFilterDateGrouping="1"/>
  </bookViews>
  <sheets>
    <sheet name="carta_porte" sheetId="1" state="visible" r:id="rId1"/>
    <sheet name="codigos_danios" sheetId="2" state="visible" r:id="rId2"/>
    <sheet name="footer" sheetId="3" state="visible" r:id="rId3"/>
    <sheet name="hea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General\ ****"/>
    <numFmt numFmtId="165" formatCode="dd/mm/yy;@"/>
  </numFmts>
  <fonts count="15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color rgb="FF000000"/>
      <sz val="6.5"/>
    </font>
    <font>
      <name val="Arial"/>
      <family val="2"/>
      <color rgb="FF000000"/>
      <sz val="8"/>
    </font>
    <font>
      <name val="Arial"/>
      <family val="2"/>
      <b val="1"/>
      <color rgb="FF000000"/>
      <sz val="6.5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CCode39"/>
      <color theme="1"/>
      <sz val="13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0" borderId="0" pivotButton="0" quotePrefix="0" xfId="0"/>
    <xf numFmtId="0" fontId="1" fillId="0" borderId="8" pivotButton="0" quotePrefix="0" xfId="0"/>
    <xf numFmtId="0" fontId="1" fillId="0" borderId="9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7" fillId="0" borderId="0" applyAlignment="1" pivotButton="0" quotePrefix="1" xfId="0">
      <alignment horizontal="center"/>
    </xf>
    <xf numFmtId="0" fontId="7" fillId="0" borderId="0" pivotButton="0" quotePrefix="0" xfId="0"/>
    <xf numFmtId="0" fontId="7" fillId="0" borderId="0" pivotButton="0" quotePrefix="1" xfId="0"/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13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14" applyAlignment="1" pivotButton="0" quotePrefix="0" xfId="0">
      <alignment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8" fillId="0" borderId="15" applyAlignment="1" pivotButton="0" quotePrefix="0" xfId="0">
      <alignment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14" fillId="0" borderId="5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5" fillId="0" borderId="1" applyAlignment="1" pivotButton="0" quotePrefix="0" xfId="0">
      <alignment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" fillId="0" borderId="1" applyAlignment="1" pivotButton="0" quotePrefix="1" xfId="0">
      <alignment horizontal="center"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textRotation="90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0" fontId="6" fillId="0" borderId="1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 wrapText="1"/>
    </xf>
    <xf numFmtId="0" fontId="9" fillId="0" borderId="1" applyAlignment="1" pivotButton="0" quotePrefix="1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3" fillId="0" borderId="2" applyAlignment="1" pivotButton="0" quotePrefix="0" xfId="0">
      <alignment horizontal="center" wrapText="1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164" fontId="1" fillId="0" borderId="7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5" fontId="3" fillId="0" borderId="11" applyAlignment="1" pivotButton="0" quotePrefix="0" xfId="0">
      <alignment horizontal="center" vertical="center"/>
    </xf>
    <xf numFmtId="165" fontId="3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14" fontId="3" fillId="0" borderId="10" applyAlignment="1" pivotButton="0" quotePrefix="0" xfId="0">
      <alignment horizontal="left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0" fillId="0" borderId="12" pivotButton="0" quotePrefix="0" xfId="0"/>
    <xf numFmtId="0" fontId="0" fillId="0" borderId="19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22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3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164" fontId="1" fillId="0" borderId="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31098</colOff>
      <row>0</row>
      <rowOff>29145</rowOff>
    </from>
    <to>
      <col>4</col>
      <colOff>1131765</colOff>
      <row>3</row>
      <rowOff>72592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08165" y="29145"/>
          <a:ext cx="1827254" cy="46474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zoomScale="183" zoomScaleNormal="130" workbookViewId="0">
      <selection activeCell="P15" sqref="P15"/>
    </sheetView>
  </sheetViews>
  <sheetFormatPr baseColWidth="10" defaultRowHeight="11"/>
  <cols>
    <col width="2.33203125" customWidth="1" style="4" min="1" max="1"/>
    <col width="2.83203125" customWidth="1" style="4" min="2" max="2"/>
    <col width="3.33203125" customWidth="1" style="4" min="3" max="4"/>
    <col width="18.83203125" customWidth="1" style="4" min="5" max="5"/>
    <col width="2.6640625" customWidth="1" style="4" min="6" max="6"/>
    <col width="2.83203125" bestFit="1" customWidth="1" style="4" min="7" max="7"/>
    <col width="3.33203125" customWidth="1" style="4" min="8" max="9"/>
    <col width="18.33203125" customWidth="1" style="4" min="10" max="10"/>
    <col width="2.33203125" customWidth="1" style="4" min="11" max="11"/>
    <col width="3" customWidth="1" style="4" min="12" max="12"/>
    <col width="3.33203125" customWidth="1" style="4" min="13" max="14"/>
    <col width="19.6640625" bestFit="1" customWidth="1" style="4" min="15" max="15"/>
    <col width="2.5" customWidth="1" style="4" min="16" max="16"/>
    <col width="13.5" customWidth="1" style="4" min="17" max="17"/>
    <col width="2.5" customWidth="1" style="4" min="18" max="18"/>
    <col width="14.1640625" customWidth="1" style="4" min="19" max="19"/>
    <col width="2.5" customWidth="1" style="4" min="20" max="20"/>
    <col width="13.5" customWidth="1" style="4" min="21" max="21"/>
    <col width="2.5" customWidth="1" style="4" min="22" max="22"/>
    <col width="12.5" customWidth="1" style="4" min="23" max="23"/>
    <col width="3.83203125" customWidth="1" style="4" min="24" max="24"/>
    <col width="2.6640625" customWidth="1" style="4" min="25" max="25"/>
    <col width="2.5" customWidth="1" style="4" min="26" max="26"/>
    <col width="18.1640625" customWidth="1" style="4" min="27" max="27"/>
    <col width="10.83203125" customWidth="1" style="4" min="28" max="16384"/>
  </cols>
  <sheetData>
    <row r="1">
      <c r="O1" s="23" t="n"/>
    </row>
    <row r="2">
      <c r="O2" s="23" t="n"/>
    </row>
    <row r="3">
      <c r="O3" s="23" t="n"/>
    </row>
    <row r="4">
      <c r="O4" s="23" t="n"/>
    </row>
    <row r="5">
      <c r="O5" s="23" t="n"/>
    </row>
    <row r="6">
      <c r="O6" s="23" t="n"/>
    </row>
    <row r="7" ht="10" customHeight="1">
      <c r="O7" s="23" t="n"/>
    </row>
    <row r="8">
      <c r="A8" s="18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20" t="n"/>
    </row>
    <row r="9">
      <c r="A9" s="22" t="n"/>
      <c r="O9" s="23" t="n"/>
    </row>
    <row r="10">
      <c r="A10" s="22" t="n"/>
      <c r="O10" s="23" t="n"/>
    </row>
    <row r="11">
      <c r="A11" s="22" t="n"/>
      <c r="O11" s="23" t="n"/>
    </row>
    <row r="12">
      <c r="A12" s="22" t="n"/>
      <c r="O12" s="23" t="n"/>
    </row>
    <row r="13">
      <c r="A13" s="22" t="n"/>
      <c r="O13" s="23" t="n"/>
    </row>
    <row r="14">
      <c r="A14" s="22" t="n"/>
      <c r="O14" s="23" t="n"/>
    </row>
    <row r="15">
      <c r="A15" s="22" t="n"/>
      <c r="O15" s="23" t="n"/>
    </row>
    <row r="16">
      <c r="A16" s="22" t="n"/>
      <c r="O16" s="23" t="n"/>
    </row>
    <row r="17">
      <c r="A17" s="22" t="n"/>
      <c r="O17" s="23" t="n"/>
    </row>
    <row r="18">
      <c r="A18" s="22" t="n"/>
      <c r="O18" s="23" t="n"/>
    </row>
    <row r="19">
      <c r="A19" s="22" t="n"/>
      <c r="O19" s="23" t="n"/>
    </row>
    <row r="20" ht="14" customHeight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9" t="n"/>
    </row>
    <row r="21" ht="6" customHeight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9" t="n"/>
    </row>
    <row r="22" ht="18" customHeight="1">
      <c r="A22" s="64" t="inlineStr">
        <is>
          <t>AREA</t>
        </is>
      </c>
      <c r="B22" s="164" t="n"/>
      <c r="C22" s="13" t="inlineStr">
        <is>
          <t>COD DAÑO</t>
        </is>
      </c>
      <c r="D22" s="13" t="inlineStr">
        <is>
          <t>COD GRAV</t>
        </is>
      </c>
      <c r="E22" s="64" t="inlineStr">
        <is>
          <t>DETALLE</t>
        </is>
      </c>
      <c r="F22" s="64" t="inlineStr">
        <is>
          <t>AREA</t>
        </is>
      </c>
      <c r="G22" s="164" t="n"/>
      <c r="H22" s="13" t="inlineStr">
        <is>
          <t>COD DAÑO</t>
        </is>
      </c>
      <c r="I22" s="13" t="inlineStr">
        <is>
          <t>COD GRAV</t>
        </is>
      </c>
      <c r="J22" s="64" t="inlineStr">
        <is>
          <t>DETALLE</t>
        </is>
      </c>
      <c r="K22" s="64" t="inlineStr">
        <is>
          <t>AREA</t>
        </is>
      </c>
      <c r="L22" s="164" t="n"/>
      <c r="M22" s="13" t="inlineStr">
        <is>
          <t>COD DAÑO</t>
        </is>
      </c>
      <c r="N22" s="13" t="inlineStr">
        <is>
          <t>COD GRAV</t>
        </is>
      </c>
      <c r="O22" s="64" t="inlineStr">
        <is>
          <t>DETALLE</t>
        </is>
      </c>
    </row>
    <row r="23" ht="9" customHeight="1">
      <c r="A23" s="63" t="inlineStr">
        <is>
          <t>LATERAL IZQUIERDO</t>
        </is>
      </c>
      <c r="B23" s="58" t="inlineStr">
        <is>
          <t>08</t>
        </is>
      </c>
      <c r="C23" s="59" t="n"/>
      <c r="D23" s="59" t="n"/>
      <c r="E23" s="60" t="inlineStr">
        <is>
          <t>PORTON LAT. IZQUIERDO</t>
        </is>
      </c>
      <c r="F23" s="63" t="inlineStr">
        <is>
          <t>DERECHO</t>
        </is>
      </c>
      <c r="G23" s="61" t="n">
        <v>69</v>
      </c>
      <c r="H23" s="59" t="n"/>
      <c r="I23" s="59" t="n"/>
      <c r="J23" s="60" t="inlineStr">
        <is>
          <t>PARANTE CENTRAL DER.</t>
        </is>
      </c>
      <c r="K23" s="63" t="inlineStr">
        <is>
          <t>TREN INF/TECHOS/VARIOS</t>
        </is>
      </c>
      <c r="L23" s="61" t="n">
        <v>56</v>
      </c>
      <c r="M23" s="59" t="n"/>
      <c r="N23" s="59" t="n"/>
      <c r="O23" s="60" t="inlineStr">
        <is>
          <t>CAPOTA / TECHO VINILICO</t>
        </is>
      </c>
    </row>
    <row r="24" ht="9" customHeight="1">
      <c r="A24" s="165" t="n"/>
      <c r="B24" s="61" t="n">
        <v>10</v>
      </c>
      <c r="C24" s="59" t="n"/>
      <c r="D24" s="59" t="n"/>
      <c r="E24" s="60" t="inlineStr">
        <is>
          <t>PUERTA DELANTERA IZQ.</t>
        </is>
      </c>
      <c r="F24" s="165" t="n"/>
      <c r="G24" s="61" t="n">
        <v>71</v>
      </c>
      <c r="H24" s="59" t="n"/>
      <c r="I24" s="59" t="n"/>
      <c r="J24" s="60" t="inlineStr">
        <is>
          <t>PILAR PARABRISAS DER.</t>
        </is>
      </c>
      <c r="K24" s="165" t="n"/>
      <c r="L24" s="61" t="n">
        <v>57</v>
      </c>
      <c r="M24" s="59" t="n"/>
      <c r="N24" s="59" t="n"/>
      <c r="O24" s="60" t="inlineStr">
        <is>
          <t>TAZA DE RUEDA</t>
        </is>
      </c>
    </row>
    <row r="25" ht="9" customHeight="1">
      <c r="A25" s="165" t="n"/>
      <c r="B25" s="61" t="n">
        <v>11</v>
      </c>
      <c r="C25" s="59" t="n"/>
      <c r="D25" s="59" t="n"/>
      <c r="E25" s="60" t="inlineStr">
        <is>
          <t>PUERTA TRASERA IZQ.</t>
        </is>
      </c>
      <c r="F25" s="165" t="n"/>
      <c r="G25" s="61" t="n">
        <v>73</v>
      </c>
      <c r="H25" s="59" t="n"/>
      <c r="I25" s="59" t="n"/>
      <c r="J25" s="60" t="inlineStr">
        <is>
          <t>PIOLAR TRAS. DER.</t>
        </is>
      </c>
      <c r="K25" s="165" t="n"/>
      <c r="L25" s="61" t="n">
        <v>62</v>
      </c>
      <c r="M25" s="59" t="n"/>
      <c r="N25" s="59" t="n"/>
      <c r="O25" s="60" t="inlineStr">
        <is>
          <t>CONV. CATALITICO (ESCAPE)</t>
        </is>
      </c>
    </row>
    <row r="26" ht="9" customHeight="1">
      <c r="A26" s="165" t="n"/>
      <c r="B26" s="61" t="n">
        <v>14</v>
      </c>
      <c r="C26" s="59" t="n"/>
      <c r="D26" s="59" t="n"/>
      <c r="E26" s="60" t="inlineStr">
        <is>
          <t>GUARDABARRO DEL. IZQ.</t>
        </is>
      </c>
      <c r="F26" s="165" t="n"/>
      <c r="G26" s="61" t="n">
        <v>76</v>
      </c>
      <c r="H26" s="59" t="n"/>
      <c r="I26" s="59" t="n"/>
      <c r="J26" s="60" t="inlineStr">
        <is>
          <t>LAT. CABINA DER.</t>
        </is>
      </c>
      <c r="K26" s="165" t="n"/>
      <c r="L26" s="61" t="n">
        <v>63</v>
      </c>
      <c r="M26" s="59" t="n"/>
      <c r="N26" s="59" t="n"/>
      <c r="O26" s="60" t="inlineStr">
        <is>
          <t>LARGUEROS BANCADA CAMION</t>
        </is>
      </c>
    </row>
    <row r="27" ht="9" customHeight="1">
      <c r="A27" s="165" t="n"/>
      <c r="B27" s="61" t="n">
        <v>15</v>
      </c>
      <c r="C27" s="59" t="n"/>
      <c r="D27" s="59" t="n"/>
      <c r="E27" s="60" t="inlineStr">
        <is>
          <t>GUARD. TRASERO IZQ.</t>
        </is>
      </c>
      <c r="F27" s="165" t="n"/>
      <c r="G27" s="61" t="n">
        <v>79</v>
      </c>
      <c r="H27" s="59" t="n"/>
      <c r="I27" s="59" t="n"/>
      <c r="J27" s="60" t="inlineStr">
        <is>
          <t>EXT. CUARTO TRASERO DER.</t>
        </is>
      </c>
      <c r="K27" s="165" t="n"/>
      <c r="L27" s="61" t="n">
        <v>65</v>
      </c>
      <c r="M27" s="59" t="n"/>
      <c r="N27" s="59" t="n"/>
      <c r="O27" s="60" t="inlineStr">
        <is>
          <t>PORTAEQUIPAJES DE VAN</t>
        </is>
      </c>
    </row>
    <row r="28" ht="9" customHeight="1">
      <c r="A28" s="165" t="n"/>
      <c r="B28" s="61" t="n">
        <v>30</v>
      </c>
      <c r="C28" s="59" t="n"/>
      <c r="D28" s="59" t="n"/>
      <c r="E28" s="60" t="inlineStr">
        <is>
          <t>ESPEJO RETROV. EXT. IZQ.</t>
        </is>
      </c>
      <c r="F28" s="166" t="n"/>
      <c r="G28" s="61" t="n">
        <v>89</v>
      </c>
      <c r="H28" s="59" t="n"/>
      <c r="I28" s="59" t="n"/>
      <c r="J28" s="60" t="inlineStr">
        <is>
          <t>PUERTA CABINA DORM. DER.</t>
        </is>
      </c>
      <c r="K28" s="165" t="n"/>
      <c r="L28" s="61" t="n">
        <v>81</v>
      </c>
      <c r="M28" s="59" t="n"/>
      <c r="N28" s="59" t="n"/>
      <c r="O28" s="60" t="inlineStr">
        <is>
          <t>TAPA / TANQUE DE NAFTA</t>
        </is>
      </c>
    </row>
    <row r="29" ht="9" customHeight="1">
      <c r="A29" s="165" t="n"/>
      <c r="B29" s="61" t="n">
        <v>70</v>
      </c>
      <c r="C29" s="59" t="n"/>
      <c r="D29" s="59" t="n"/>
      <c r="E29" s="60" t="inlineStr">
        <is>
          <t>PARANTE CENTRAL IZQ.</t>
        </is>
      </c>
      <c r="F29" s="63" t="inlineStr">
        <is>
          <t>FRENTE</t>
        </is>
      </c>
      <c r="G29" s="58" t="inlineStr">
        <is>
          <t>03</t>
        </is>
      </c>
      <c r="H29" s="59" t="n"/>
      <c r="I29" s="59" t="n"/>
      <c r="J29" s="60" t="inlineStr">
        <is>
          <t>CUB. PARAG. DER. (PINT/CROM)</t>
        </is>
      </c>
      <c r="K29" s="165" t="n"/>
      <c r="L29" s="61" t="n">
        <v>84</v>
      </c>
      <c r="M29" s="59" t="n"/>
      <c r="N29" s="59" t="n"/>
      <c r="O29" s="60" t="inlineStr">
        <is>
          <t>HERRAMIENTAS / CRIQUE</t>
        </is>
      </c>
    </row>
    <row r="30" ht="9" customHeight="1">
      <c r="A30" s="165" t="n"/>
      <c r="B30" s="61" t="n">
        <v>72</v>
      </c>
      <c r="C30" s="59" t="n"/>
      <c r="D30" s="59" t="n"/>
      <c r="E30" s="60" t="inlineStr">
        <is>
          <t>PILAR PARABRISAS IZQ.</t>
        </is>
      </c>
      <c r="F30" s="165" t="n"/>
      <c r="G30" s="58" t="inlineStr">
        <is>
          <t>06</t>
        </is>
      </c>
      <c r="H30" s="59" t="n"/>
      <c r="I30" s="59" t="n"/>
      <c r="J30" s="60" t="inlineStr">
        <is>
          <t>PROTECCION PARAGOLPE DER.</t>
        </is>
      </c>
      <c r="K30" s="165" t="n"/>
      <c r="L30" s="61" t="n">
        <v>86</v>
      </c>
      <c r="M30" s="59" t="n"/>
      <c r="N30" s="59" t="n"/>
      <c r="O30" s="60" t="inlineStr">
        <is>
          <t>FILTRO DE AIRE/TUBO ADMIS.</t>
        </is>
      </c>
    </row>
    <row r="31" ht="9" customHeight="1">
      <c r="A31" s="165" t="n"/>
      <c r="B31" s="61" t="n">
        <v>74</v>
      </c>
      <c r="C31" s="59" t="n"/>
      <c r="D31" s="59" t="n"/>
      <c r="E31" s="60" t="inlineStr">
        <is>
          <t>PILAR TRAS. IZQ.</t>
        </is>
      </c>
      <c r="F31" s="165" t="n"/>
      <c r="G31" s="61" t="n">
        <v>20</v>
      </c>
      <c r="H31" s="59" t="n"/>
      <c r="I31" s="59" t="n"/>
      <c r="J31" s="60" t="inlineStr">
        <is>
          <t>PARABRISAS</t>
        </is>
      </c>
      <c r="K31" s="165" t="n"/>
      <c r="L31" s="61" t="n">
        <v>90</v>
      </c>
      <c r="M31" s="59" t="n"/>
      <c r="N31" s="59" t="n"/>
      <c r="O31" s="60" t="inlineStr">
        <is>
          <t>BASTIDOR</t>
        </is>
      </c>
    </row>
    <row r="32" ht="9" customHeight="1">
      <c r="A32" s="165" t="n"/>
      <c r="B32" s="61" t="n">
        <v>75</v>
      </c>
      <c r="C32" s="59" t="n"/>
      <c r="D32" s="59" t="n"/>
      <c r="E32" s="60" t="inlineStr">
        <is>
          <t>LAT. CABINA IZQ.</t>
        </is>
      </c>
      <c r="F32" s="165" t="n"/>
      <c r="G32" s="61" t="n">
        <v>22</v>
      </c>
      <c r="H32" s="59" t="n"/>
      <c r="I32" s="59" t="n"/>
      <c r="J32" s="60" t="inlineStr">
        <is>
          <t>PARRILLA</t>
        </is>
      </c>
      <c r="K32" s="165" t="n"/>
      <c r="L32" s="61" t="n">
        <v>91</v>
      </c>
      <c r="M32" s="59" t="n"/>
      <c r="N32" s="59" t="n"/>
      <c r="O32" s="60" t="inlineStr">
        <is>
          <t>CAÑO DE ESCAPE</t>
        </is>
      </c>
    </row>
    <row r="33" ht="9" customHeight="1">
      <c r="A33" s="165" t="n"/>
      <c r="B33" s="61" t="n">
        <v>78</v>
      </c>
      <c r="C33" s="59" t="n"/>
      <c r="D33" s="59" t="n"/>
      <c r="E33" s="60" t="inlineStr">
        <is>
          <t>PUERTA CAB. DORMIT. IZQ.</t>
        </is>
      </c>
      <c r="F33" s="165" t="n"/>
      <c r="G33" s="61" t="n">
        <v>23</v>
      </c>
      <c r="H33" s="59" t="n"/>
      <c r="I33" s="59" t="n"/>
      <c r="J33" s="60" t="inlineStr">
        <is>
          <t>PLANCHA SUP./EXT. BAUL</t>
        </is>
      </c>
      <c r="K33" s="165" t="n"/>
      <c r="L33" s="61" t="n">
        <v>92</v>
      </c>
      <c r="M33" s="59" t="n"/>
      <c r="N33" s="59" t="n"/>
      <c r="O33" s="60" t="inlineStr">
        <is>
          <t>SOPORTE PORTANTE</t>
        </is>
      </c>
    </row>
    <row r="34" ht="9" customHeight="1">
      <c r="A34" s="165" t="n"/>
      <c r="B34" s="61" t="n">
        <v>82</v>
      </c>
      <c r="C34" s="59" t="n"/>
      <c r="D34" s="59" t="n"/>
      <c r="E34" s="60" t="inlineStr">
        <is>
          <t>GUARDABARRO EXT. IZQ.</t>
        </is>
      </c>
      <c r="F34" s="165" t="n"/>
      <c r="G34" s="61" t="n">
        <v>24</v>
      </c>
      <c r="H34" s="59" t="n"/>
      <c r="I34" s="59" t="n"/>
      <c r="J34" s="60" t="inlineStr">
        <is>
          <t>FAROS PRINC./LUCES GIRO</t>
        </is>
      </c>
      <c r="K34" s="165" t="n"/>
      <c r="L34" s="61" t="n">
        <v>93</v>
      </c>
      <c r="M34" s="59" t="n"/>
      <c r="N34" s="59" t="n"/>
      <c r="O34" s="60" t="inlineStr">
        <is>
          <t>SISTEMA DE SUSPENSION</t>
        </is>
      </c>
    </row>
    <row r="35" ht="9" customHeight="1">
      <c r="A35" s="166" t="n"/>
      <c r="B35" s="61" t="n">
        <v>88</v>
      </c>
      <c r="C35" s="59" t="n"/>
      <c r="D35" s="59" t="n"/>
      <c r="E35" s="60" t="inlineStr">
        <is>
          <t>PUERTA CABINA CUCHETA</t>
        </is>
      </c>
      <c r="F35" s="165" t="n"/>
      <c r="G35" s="61" t="n">
        <v>25</v>
      </c>
      <c r="H35" s="59" t="n"/>
      <c r="I35" s="59" t="n"/>
      <c r="J35" s="60" t="inlineStr">
        <is>
          <t>FAROS ANTINIEBLA</t>
        </is>
      </c>
      <c r="K35" s="165" t="n"/>
      <c r="L35" s="61" t="n">
        <v>99</v>
      </c>
      <c r="M35" s="59" t="n"/>
      <c r="N35" s="59" t="n"/>
      <c r="O35" s="60" t="inlineStr">
        <is>
          <t>COMP. DE MOTOR / OTROS</t>
        </is>
      </c>
    </row>
    <row r="36" ht="9" customHeight="1">
      <c r="A36" s="63" t="inlineStr">
        <is>
          <t>PARTE TRASERA</t>
        </is>
      </c>
      <c r="B36" s="58" t="inlineStr">
        <is>
          <t>04</t>
        </is>
      </c>
      <c r="C36" s="59" t="n"/>
      <c r="D36" s="59" t="n"/>
      <c r="E36" s="60" t="inlineStr">
        <is>
          <t>CUB. PARAGOLPE TRASERO</t>
        </is>
      </c>
      <c r="F36" s="165" t="n"/>
      <c r="G36" s="61" t="n">
        <v>27</v>
      </c>
      <c r="H36" s="59" t="n"/>
      <c r="I36" s="59" t="n"/>
      <c r="J36" s="60" t="inlineStr">
        <is>
          <t>CAPOT</t>
        </is>
      </c>
      <c r="K36" s="165" t="n"/>
      <c r="L36" s="61" t="n">
        <v>18</v>
      </c>
      <c r="M36" s="59" t="n"/>
      <c r="N36" s="59" t="n"/>
      <c r="O36" s="60" t="inlineStr">
        <is>
          <t>CUBREALFOMBRA DEL.</t>
        </is>
      </c>
    </row>
    <row r="37" ht="9" customHeight="1">
      <c r="A37" s="165" t="n"/>
      <c r="B37" s="61" t="n">
        <v>21</v>
      </c>
      <c r="C37" s="59" t="n"/>
      <c r="D37" s="59" t="n"/>
      <c r="E37" s="60" t="inlineStr">
        <is>
          <t>LUNETA TRASERA</t>
        </is>
      </c>
      <c r="F37" s="165" t="n"/>
      <c r="G37" s="61" t="n">
        <v>41</v>
      </c>
      <c r="H37" s="59" t="n"/>
      <c r="I37" s="59" t="n"/>
      <c r="J37" s="60" t="inlineStr">
        <is>
          <t>PANEL DEL. (RAD Y PARAG.)</t>
        </is>
      </c>
      <c r="K37" s="166" t="n"/>
      <c r="L37" s="61" t="n">
        <v>19</v>
      </c>
      <c r="M37" s="59" t="n"/>
      <c r="N37" s="59" t="n"/>
      <c r="O37" s="60" t="inlineStr">
        <is>
          <t>CUBREALFOMBRA TRAS.</t>
        </is>
      </c>
    </row>
    <row r="38" ht="9" customHeight="1">
      <c r="A38" s="165" t="n"/>
      <c r="B38" s="61" t="n">
        <v>34</v>
      </c>
      <c r="C38" s="59" t="n"/>
      <c r="D38" s="59" t="n"/>
      <c r="E38" s="60" t="inlineStr">
        <is>
          <t>PANEL EXTREMO TRASERO DER.</t>
        </is>
      </c>
      <c r="F38" s="165" t="n"/>
      <c r="G38" s="61" t="n">
        <v>42</v>
      </c>
      <c r="H38" s="59" t="n"/>
      <c r="I38" s="59" t="n"/>
      <c r="J38" s="60" t="inlineStr">
        <is>
          <t>PANEL DEBAJO PARAG. DEL.</t>
        </is>
      </c>
      <c r="K38" s="63" t="inlineStr">
        <is>
          <t>INTERIOR</t>
        </is>
      </c>
      <c r="L38" s="61" t="n">
        <v>26</v>
      </c>
      <c r="M38" s="59" t="n"/>
      <c r="N38" s="59" t="n"/>
      <c r="O38" s="60" t="inlineStr">
        <is>
          <t>TAPIZADO DE TECHO</t>
        </is>
      </c>
    </row>
    <row r="39" ht="9" customHeight="1">
      <c r="A39" s="165" t="n"/>
      <c r="B39" s="61" t="n">
        <v>43</v>
      </c>
      <c r="C39" s="59" t="n"/>
      <c r="D39" s="59" t="n"/>
      <c r="E39" s="60" t="inlineStr">
        <is>
          <t>PANEL DEBAJO PARAG. TRAS.</t>
        </is>
      </c>
      <c r="F39" s="165" t="n"/>
      <c r="G39" s="61" t="n">
        <v>59</v>
      </c>
      <c r="H39" s="59" t="n"/>
      <c r="I39" s="59" t="n"/>
      <c r="J39" s="60" t="inlineStr">
        <is>
          <t>LIMPIAPARABRISA</t>
        </is>
      </c>
      <c r="K39" s="165" t="n"/>
      <c r="L39" s="61" t="n">
        <v>29</v>
      </c>
      <c r="M39" s="59" t="n"/>
      <c r="N39" s="59" t="n"/>
      <c r="O39" s="60" t="inlineStr">
        <is>
          <t>ESPEJO RETROVISOR INTERNO</t>
        </is>
      </c>
    </row>
    <row r="40" ht="9" customHeight="1">
      <c r="A40" s="165" t="n"/>
      <c r="B40" s="61" t="n">
        <v>45</v>
      </c>
      <c r="C40" s="59" t="n"/>
      <c r="D40" s="59" t="n"/>
      <c r="E40" s="60" t="inlineStr">
        <is>
          <t>LUCES TRAS</t>
        </is>
      </c>
      <c r="F40" s="165" t="n"/>
      <c r="G40" s="61" t="n">
        <v>80</v>
      </c>
      <c r="H40" s="59" t="n"/>
      <c r="I40" s="59" t="n"/>
      <c r="J40" s="60" t="inlineStr">
        <is>
          <t>CUBRE TABLERO</t>
        </is>
      </c>
      <c r="K40" s="165" t="n"/>
      <c r="L40" s="61" t="n">
        <v>33</v>
      </c>
      <c r="M40" s="59" t="n"/>
      <c r="N40" s="59" t="n"/>
      <c r="O40" s="60" t="inlineStr">
        <is>
          <t>RADIO / ESTEREO / CD / FRENTE</t>
        </is>
      </c>
    </row>
    <row r="41" ht="9" customHeight="1">
      <c r="A41" s="165" t="n"/>
      <c r="B41" s="61" t="n">
        <v>52</v>
      </c>
      <c r="C41" s="59" t="n"/>
      <c r="D41" s="59" t="n"/>
      <c r="E41" s="60" t="inlineStr">
        <is>
          <t>TERCERA / QUIINTA PUERTA</t>
        </is>
      </c>
      <c r="F41" s="166" t="n"/>
      <c r="G41" s="58" t="inlineStr">
        <is>
          <t>01</t>
        </is>
      </c>
      <c r="H41" s="59" t="n"/>
      <c r="I41" s="59" t="n"/>
      <c r="J41" s="60" t="inlineStr">
        <is>
          <t>ANTENA</t>
        </is>
      </c>
      <c r="K41" s="165" t="n"/>
      <c r="L41" s="61" t="n">
        <v>48</v>
      </c>
      <c r="M41" s="59" t="n"/>
      <c r="N41" s="59" t="n"/>
      <c r="O41" s="60" t="inlineStr">
        <is>
          <t>PANEL INT. DEL. IZQ. (TELA)</t>
        </is>
      </c>
    </row>
    <row r="42" ht="9" customHeight="1">
      <c r="A42" s="165" t="n"/>
      <c r="B42" s="61" t="n">
        <v>61</v>
      </c>
      <c r="C42" s="59" t="n"/>
      <c r="D42" s="59" t="n"/>
      <c r="E42" s="60" t="inlineStr">
        <is>
          <t>CAJA TRAS. (INTERIOR)</t>
        </is>
      </c>
      <c r="F42" s="63" t="inlineStr">
        <is>
          <t>TREN INF/TECHOS/VARIOS</t>
        </is>
      </c>
      <c r="G42" s="58" t="inlineStr">
        <is>
          <t>02</t>
        </is>
      </c>
      <c r="H42" s="59" t="n"/>
      <c r="I42" s="59" t="n"/>
      <c r="J42" s="60" t="inlineStr">
        <is>
          <t>BATERIA / CAJA</t>
        </is>
      </c>
      <c r="K42" s="165" t="n"/>
      <c r="L42" s="61" t="n">
        <v>50</v>
      </c>
      <c r="M42" s="59" t="n"/>
      <c r="N42" s="59" t="n"/>
      <c r="O42" s="60" t="inlineStr">
        <is>
          <t>PANEL INT. DEL. DER. (TELA)</t>
        </is>
      </c>
    </row>
    <row r="43" ht="9" customHeight="1">
      <c r="A43" s="165" t="n"/>
      <c r="B43" s="61" t="n">
        <v>64</v>
      </c>
      <c r="C43" s="59" t="n"/>
      <c r="D43" s="59" t="n"/>
      <c r="E43" s="60" t="inlineStr">
        <is>
          <t>SPOILER / ALERON TRAS.</t>
        </is>
      </c>
      <c r="F43" s="165" t="n"/>
      <c r="G43" s="61" t="n">
        <v>28</v>
      </c>
      <c r="H43" s="59" t="n"/>
      <c r="I43" s="59" t="n"/>
      <c r="J43" s="60" t="inlineStr">
        <is>
          <t>LALVES</t>
        </is>
      </c>
      <c r="K43" s="165" t="n"/>
      <c r="L43" s="61" t="n">
        <v>58</v>
      </c>
      <c r="M43" s="59" t="n"/>
      <c r="N43" s="59" t="n"/>
      <c r="O43" s="60" t="inlineStr">
        <is>
          <t>PARLANTES</t>
        </is>
      </c>
    </row>
    <row r="44" ht="9" customHeight="1">
      <c r="A44" s="165" t="n"/>
      <c r="B44" s="61" t="n">
        <v>77</v>
      </c>
      <c r="C44" s="59" t="n"/>
      <c r="D44" s="59" t="n"/>
      <c r="E44" s="60" t="inlineStr">
        <is>
          <t>PANEL TRAS. DE CABINA</t>
        </is>
      </c>
      <c r="F44" s="165" t="n"/>
      <c r="G44" s="61" t="n">
        <v>35</v>
      </c>
      <c r="H44" s="59" t="n"/>
      <c r="I44" s="59" t="n"/>
      <c r="J44" s="60" t="inlineStr">
        <is>
          <t>ZOCALO IZQ.</t>
        </is>
      </c>
      <c r="K44" s="165" t="n"/>
      <c r="L44" s="61" t="n">
        <v>66</v>
      </c>
      <c r="M44" s="59" t="n"/>
      <c r="N44" s="59" t="n"/>
      <c r="O44" s="60" t="inlineStr">
        <is>
          <t>TABLERO DE INSTRUMENTOS</t>
        </is>
      </c>
    </row>
    <row r="45" ht="9" customHeight="1">
      <c r="A45" s="165" t="n"/>
      <c r="B45" s="61" t="n">
        <v>83</v>
      </c>
      <c r="C45" s="59" t="n"/>
      <c r="D45" s="59" t="n"/>
      <c r="E45" s="60" t="inlineStr">
        <is>
          <t>GUARDABARRO EXT. DER.</t>
        </is>
      </c>
      <c r="F45" s="165" t="n"/>
      <c r="G45" s="61" t="n">
        <v>36</v>
      </c>
      <c r="H45" s="59" t="n"/>
      <c r="I45" s="59" t="n"/>
      <c r="J45" s="60" t="inlineStr">
        <is>
          <t>ZOCALO DER.</t>
        </is>
      </c>
      <c r="K45" s="165" t="n"/>
      <c r="L45" s="61" t="n">
        <v>67</v>
      </c>
      <c r="M45" s="59" t="n"/>
      <c r="N45" s="59" t="n"/>
      <c r="O45" s="60" t="inlineStr">
        <is>
          <t>ENCENDEDOR</t>
        </is>
      </c>
    </row>
    <row r="46" ht="9" customHeight="1">
      <c r="A46" s="165" t="n"/>
      <c r="B46" s="61" t="n">
        <v>87</v>
      </c>
      <c r="C46" s="59" t="n"/>
      <c r="D46" s="59" t="n"/>
      <c r="E46" s="60" t="inlineStr">
        <is>
          <t>PANEL DIV. ENTRE CAB / CAJA</t>
        </is>
      </c>
      <c r="F46" s="165" t="n"/>
      <c r="G46" s="61" t="n">
        <v>37</v>
      </c>
      <c r="H46" s="59" t="n"/>
      <c r="I46" s="59" t="n"/>
      <c r="J46" s="60" t="inlineStr">
        <is>
          <t>TECHO</t>
        </is>
      </c>
      <c r="K46" s="165" t="n"/>
      <c r="L46" s="61" t="n">
        <v>68</v>
      </c>
      <c r="M46" s="59" t="n"/>
      <c r="N46" s="59" t="n"/>
      <c r="O46" s="60" t="inlineStr">
        <is>
          <t>ALFOMBRA DEL.</t>
        </is>
      </c>
    </row>
    <row r="47" ht="9" customHeight="1">
      <c r="A47" s="165" t="n"/>
      <c r="B47" s="58" t="inlineStr">
        <is>
          <t>07</t>
        </is>
      </c>
      <c r="C47" s="59" t="n"/>
      <c r="D47" s="59" t="n"/>
      <c r="E47" s="60" t="inlineStr">
        <is>
          <t>PORTON LAT. DER.</t>
        </is>
      </c>
      <c r="F47" s="165" t="n"/>
      <c r="G47" s="61" t="n">
        <v>38</v>
      </c>
      <c r="H47" s="59" t="n"/>
      <c r="I47" s="59" t="n"/>
      <c r="J47" s="60" t="inlineStr">
        <is>
          <t>ESTRIBO IZQ.</t>
        </is>
      </c>
      <c r="K47" s="165" t="n"/>
      <c r="L47" s="61" t="n">
        <v>85</v>
      </c>
      <c r="M47" s="59" t="n"/>
      <c r="N47" s="59" t="n"/>
      <c r="O47" s="60" t="inlineStr">
        <is>
          <t>MICROFONO CB/TELEFONO</t>
        </is>
      </c>
    </row>
    <row r="48" ht="9" customHeight="1">
      <c r="A48" s="166" t="n"/>
      <c r="B48" s="58" t="inlineStr">
        <is>
          <t>09</t>
        </is>
      </c>
      <c r="C48" s="59" t="n"/>
      <c r="D48" s="59" t="n"/>
      <c r="E48" s="60" t="inlineStr">
        <is>
          <t>PORTON DE CARGA DER.</t>
        </is>
      </c>
      <c r="F48" s="165" t="n"/>
      <c r="G48" s="61" t="n">
        <v>39</v>
      </c>
      <c r="H48" s="59" t="n"/>
      <c r="I48" s="59" t="n"/>
      <c r="J48" s="60" t="inlineStr">
        <is>
          <t>ESTRIBO DER.</t>
        </is>
      </c>
      <c r="K48" s="165" t="n"/>
      <c r="L48" s="61" t="n">
        <v>94</v>
      </c>
      <c r="M48" s="59" t="n"/>
      <c r="N48" s="59" t="n"/>
      <c r="O48" s="60" t="inlineStr">
        <is>
          <t>ASIENTO DEL. IZQ.</t>
        </is>
      </c>
    </row>
    <row r="49" ht="9" customHeight="1">
      <c r="A49" s="63" t="inlineStr">
        <is>
          <t>LATERAL</t>
        </is>
      </c>
      <c r="B49" s="61" t="n">
        <v>12</v>
      </c>
      <c r="C49" s="59" t="n"/>
      <c r="D49" s="59" t="n"/>
      <c r="E49" s="60" t="inlineStr">
        <is>
          <t>PUERTA DEL. DER.</t>
        </is>
      </c>
      <c r="F49" s="165" t="n"/>
      <c r="G49" s="61" t="n">
        <v>40</v>
      </c>
      <c r="H49" s="59" t="n"/>
      <c r="I49" s="59" t="n"/>
      <c r="J49" s="60" t="inlineStr">
        <is>
          <t>RUEDA DE AUXILIO</t>
        </is>
      </c>
      <c r="K49" s="165" t="n"/>
      <c r="L49" s="61" t="n">
        <v>95</v>
      </c>
      <c r="M49" s="59" t="n"/>
      <c r="N49" s="59" t="n"/>
      <c r="O49" s="60" t="inlineStr">
        <is>
          <t>ASIENTO DEL. DER.</t>
        </is>
      </c>
    </row>
    <row r="50" ht="9" customHeight="1">
      <c r="A50" s="165" t="n"/>
      <c r="B50" s="61" t="n">
        <v>13</v>
      </c>
      <c r="C50" s="59" t="n"/>
      <c r="D50" s="59" t="n"/>
      <c r="E50" s="60" t="inlineStr">
        <is>
          <t>PUERTA TRAS. DER.</t>
        </is>
      </c>
      <c r="F50" s="165" t="n"/>
      <c r="G50" s="61" t="n">
        <v>44</v>
      </c>
      <c r="H50" s="59" t="n"/>
      <c r="I50" s="59" t="n"/>
      <c r="J50" s="60" t="inlineStr">
        <is>
          <t>TANQUE DE COMBUSTIBLE</t>
        </is>
      </c>
      <c r="K50" s="165" t="n"/>
      <c r="L50" s="61" t="n">
        <v>96</v>
      </c>
      <c r="M50" s="59" t="n"/>
      <c r="N50" s="59" t="n"/>
      <c r="O50" s="60" t="inlineStr">
        <is>
          <t>ASIENTO TRAS.</t>
        </is>
      </c>
    </row>
    <row r="51" ht="9" customHeight="1">
      <c r="A51" s="165" t="n"/>
      <c r="B51" s="61" t="n">
        <v>16</v>
      </c>
      <c r="C51" s="59" t="n"/>
      <c r="D51" s="59" t="n"/>
      <c r="E51" s="60" t="inlineStr">
        <is>
          <t>GUARDABARRO DEL. DER.</t>
        </is>
      </c>
      <c r="F51" s="165" t="n"/>
      <c r="G51" s="61" t="n">
        <v>47</v>
      </c>
      <c r="H51" s="59" t="n"/>
      <c r="I51" s="59" t="n"/>
      <c r="J51" s="60" t="inlineStr">
        <is>
          <t>RUEDAS / LLANTAS (EXC. AUX.)</t>
        </is>
      </c>
      <c r="K51" s="165" t="n"/>
      <c r="L51" s="61" t="n">
        <v>97</v>
      </c>
      <c r="M51" s="59" t="n"/>
      <c r="N51" s="59" t="n"/>
      <c r="O51" s="60" t="inlineStr">
        <is>
          <t>ALFOMBRA TRAS.</t>
        </is>
      </c>
    </row>
    <row r="52" ht="9" customHeight="1">
      <c r="A52" s="165" t="n"/>
      <c r="B52" s="61" t="n">
        <v>17</v>
      </c>
      <c r="C52" s="59" t="n"/>
      <c r="D52" s="59" t="n"/>
      <c r="E52" s="60" t="inlineStr">
        <is>
          <t>GUARDABARRO TRAS. DER.</t>
        </is>
      </c>
      <c r="F52" s="165" t="n"/>
      <c r="G52" s="61" t="n">
        <v>53</v>
      </c>
      <c r="H52" s="59" t="n"/>
      <c r="I52" s="59" t="n"/>
      <c r="J52" s="60" t="inlineStr">
        <is>
          <t>TECHO CORREDIZO</t>
        </is>
      </c>
      <c r="K52" s="166" t="n"/>
      <c r="L52" s="61" t="n">
        <v>98</v>
      </c>
      <c r="M52" s="59" t="n"/>
      <c r="N52" s="59" t="n"/>
      <c r="O52" s="60" t="inlineStr">
        <is>
          <t>INTERIOR / OTROS</t>
        </is>
      </c>
    </row>
    <row r="53" ht="9" customHeight="1">
      <c r="A53" s="165" t="n"/>
      <c r="B53" s="61" t="n">
        <v>31</v>
      </c>
      <c r="C53" s="59" t="n"/>
      <c r="D53" s="59" t="n"/>
      <c r="E53" s="60" t="inlineStr">
        <is>
          <t>ESPEJO RETROV. EXT. DER.</t>
        </is>
      </c>
      <c r="F53" s="165" t="n"/>
      <c r="G53" s="61" t="n">
        <v>54</v>
      </c>
      <c r="H53" s="59" t="n"/>
      <c r="I53" s="59" t="n"/>
      <c r="J53" s="60" t="inlineStr">
        <is>
          <t>ESTRUCTURA AUTOPORTANTE</t>
        </is>
      </c>
      <c r="K53" s="62" t="n"/>
      <c r="L53" s="61" t="n">
        <v>32</v>
      </c>
      <c r="M53" s="59" t="n"/>
      <c r="N53" s="59" t="n"/>
      <c r="O53" s="60" t="inlineStr">
        <is>
          <t>INFORMACION ESPECIAL</t>
        </is>
      </c>
    </row>
    <row r="54" ht="9" customHeight="1">
      <c r="A54" s="166" t="n"/>
      <c r="B54" s="61" t="n">
        <v>60</v>
      </c>
      <c r="C54" s="59" t="n"/>
      <c r="D54" s="59" t="n"/>
      <c r="E54" s="60" t="inlineStr">
        <is>
          <t>PARANTE CENTRAL DERECHO</t>
        </is>
      </c>
      <c r="F54" s="166" t="n"/>
      <c r="G54" s="61" t="n">
        <v>55</v>
      </c>
      <c r="H54" s="59" t="n"/>
      <c r="I54" s="59" t="n"/>
      <c r="J54" s="60" t="inlineStr">
        <is>
          <t>CAJA CARGA P/ ACC. REMOVIB.</t>
        </is>
      </c>
      <c r="K54" s="59" t="n"/>
      <c r="L54" s="65" t="inlineStr">
        <is>
          <t>00</t>
        </is>
      </c>
      <c r="M54" s="167" t="n"/>
      <c r="N54" s="164" t="n"/>
      <c r="O54" s="60" t="inlineStr">
        <is>
          <t>SIN OBSERVACIONES</t>
        </is>
      </c>
    </row>
    <row r="55" ht="6" customHeight="1">
      <c r="A55" s="7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6" t="n"/>
    </row>
    <row r="56">
      <c r="A56" s="18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20" t="n"/>
    </row>
    <row r="57">
      <c r="A57" s="22" t="n"/>
      <c r="O57" s="23" t="n"/>
    </row>
    <row r="58">
      <c r="A58" s="22" t="n"/>
      <c r="O58" s="23" t="n"/>
    </row>
    <row r="59">
      <c r="A59" s="22" t="n"/>
      <c r="O59" s="23" t="n"/>
    </row>
    <row r="60">
      <c r="A60" s="22" t="n"/>
      <c r="O60" s="23" t="n"/>
    </row>
    <row r="61">
      <c r="A61" s="22" t="n"/>
      <c r="O61" s="23" t="n"/>
    </row>
    <row r="62">
      <c r="A62" s="22" t="n"/>
      <c r="O62" s="23" t="n"/>
    </row>
    <row r="63">
      <c r="A63" s="22" t="n"/>
      <c r="O63" s="23" t="n"/>
    </row>
    <row r="64">
      <c r="A64" s="22" t="n"/>
      <c r="O64" s="23" t="n"/>
    </row>
    <row r="65">
      <c r="A65" s="22" t="n"/>
      <c r="O65" s="23" t="n"/>
    </row>
    <row r="66">
      <c r="A66" s="22" t="n"/>
      <c r="O66" s="23" t="n"/>
    </row>
    <row r="67">
      <c r="A67" s="22" t="n"/>
      <c r="O67" s="23" t="n"/>
    </row>
    <row r="68">
      <c r="A68" s="22" t="n"/>
      <c r="O68" s="23" t="n"/>
    </row>
    <row r="69" ht="14" customHeight="1">
      <c r="A69" s="27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9" t="n"/>
    </row>
    <row r="70" ht="5" customHeight="1">
      <c r="A70" s="7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6" t="n"/>
    </row>
    <row r="71" ht="11" customHeight="1">
      <c r="A71" s="18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20" t="n"/>
    </row>
    <row r="72" ht="11" customHeight="1">
      <c r="A72" s="22" t="n"/>
      <c r="O72" s="23" t="n"/>
    </row>
    <row r="73" ht="11" customHeight="1">
      <c r="A73" s="22" t="n"/>
      <c r="O73" s="23" t="n"/>
    </row>
    <row r="74" ht="11" customHeight="1">
      <c r="A74" s="22" t="n"/>
      <c r="O74" s="23" t="n"/>
    </row>
    <row r="75" ht="11" customHeight="1">
      <c r="A75" s="22" t="n"/>
      <c r="O75" s="23" t="n"/>
    </row>
    <row r="76" ht="11" customHeight="1">
      <c r="A76" s="22" t="n"/>
      <c r="O76" s="23" t="n"/>
    </row>
    <row r="77" ht="11" customHeight="1">
      <c r="A77" s="22" t="n"/>
      <c r="O77" s="23" t="n"/>
    </row>
    <row r="78">
      <c r="A78" s="22" t="n"/>
      <c r="O78" s="23" t="n"/>
    </row>
    <row r="79">
      <c r="A79" s="22" t="n"/>
      <c r="O79" s="23" t="n"/>
    </row>
    <row r="80">
      <c r="A80" s="22" t="n"/>
      <c r="O80" s="23" t="n"/>
    </row>
    <row r="81">
      <c r="A81" s="22" t="n"/>
      <c r="O81" s="23" t="n"/>
    </row>
    <row r="82">
      <c r="A82" s="22" t="n"/>
      <c r="O82" s="23" t="n"/>
    </row>
    <row r="83" ht="7" customHeight="1">
      <c r="A83" s="27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9" t="n"/>
    </row>
    <row r="84" ht="12" customHeight="1">
      <c r="A84" s="11" t="n"/>
      <c r="F84" s="10" t="n"/>
      <c r="K84" s="10" t="n"/>
      <c r="L84" s="10" t="n"/>
      <c r="M84" s="10" t="n"/>
      <c r="N84" s="9" t="n"/>
      <c r="O84" s="8" t="n"/>
    </row>
  </sheetData>
  <mergeCells count="12">
    <mergeCell ref="A23:A35"/>
    <mergeCell ref="F23:F28"/>
    <mergeCell ref="L54:N54"/>
    <mergeCell ref="K38:K52"/>
    <mergeCell ref="F29:F41"/>
    <mergeCell ref="F22:G22"/>
    <mergeCell ref="A49:A54"/>
    <mergeCell ref="K22:L22"/>
    <mergeCell ref="A36:A48"/>
    <mergeCell ref="A22:B22"/>
    <mergeCell ref="F42:F54"/>
    <mergeCell ref="K23:K37"/>
  </mergeCells>
  <pageMargins left="0" right="0" top="0" bottom="0" header="0" footer="0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zoomScale="168" workbookViewId="0">
      <selection activeCell="A1" sqref="A1:L16"/>
    </sheetView>
  </sheetViews>
  <sheetFormatPr baseColWidth="10" defaultRowHeight="16"/>
  <cols>
    <col width="2.5" customWidth="1" min="1" max="1"/>
    <col width="13.1640625" customWidth="1" min="2" max="2"/>
    <col width="2.5" customWidth="1" min="3" max="3"/>
    <col width="14.6640625" customWidth="1" min="4" max="4"/>
    <col width="2.5" customWidth="1" min="5" max="5"/>
    <col width="10.6640625" customWidth="1" min="6" max="6"/>
    <col width="2.1640625" customWidth="1" min="7" max="7"/>
    <col width="14.5" customWidth="1" min="8" max="8"/>
    <col width="3.5" customWidth="1" min="9" max="9"/>
    <col width="2.83203125" customWidth="1" min="10" max="10"/>
    <col width="2.5" customWidth="1" min="11" max="11"/>
    <col width="20.83203125" customWidth="1" min="12" max="12"/>
  </cols>
  <sheetData>
    <row r="1" ht="11" customHeight="1">
      <c r="A1" s="57" t="inlineStr">
        <is>
          <t>CODIGO DE DAÑOS</t>
        </is>
      </c>
      <c r="B1" s="168" t="n"/>
      <c r="C1" s="168" t="n"/>
      <c r="D1" s="168" t="n"/>
      <c r="E1" s="168" t="n"/>
      <c r="F1" s="168" t="n"/>
      <c r="G1" s="168" t="n"/>
      <c r="H1" s="169" t="n"/>
      <c r="I1" s="69" t="inlineStr">
        <is>
          <t>CODIGO DE GRAVEDAD PARA ESPECIFICAR EL TAMAÑO DE LAS AREAS ANTERIORES</t>
        </is>
      </c>
      <c r="J1" s="168" t="n"/>
      <c r="K1" s="168" t="n"/>
      <c r="L1" s="169" t="n"/>
    </row>
    <row r="2" ht="11" customHeight="1">
      <c r="A2" s="56" t="inlineStr">
        <is>
          <t>PARA DESCRIBIR ESTADO DE LAS AREAS ANTERIORES</t>
        </is>
      </c>
      <c r="B2" s="170" t="n"/>
      <c r="C2" s="170" t="n"/>
      <c r="D2" s="170" t="n"/>
      <c r="E2" s="170" t="n"/>
      <c r="F2" s="170" t="n"/>
      <c r="G2" s="170" t="n"/>
      <c r="H2" s="171" t="n"/>
      <c r="I2" s="172" t="n"/>
      <c r="J2" s="170" t="n"/>
      <c r="K2" s="170" t="n"/>
      <c r="L2" s="171" t="n"/>
    </row>
    <row r="3" ht="10" customHeight="1">
      <c r="A3" s="89" t="inlineStr">
        <is>
          <t>00</t>
        </is>
      </c>
      <c r="B3" s="90" t="inlineStr">
        <is>
          <t>SIN OBSERVACIONES</t>
        </is>
      </c>
      <c r="C3" s="89" t="inlineStr">
        <is>
          <t>09</t>
        </is>
      </c>
      <c r="D3" s="90" t="inlineStr">
        <is>
          <t>RASPADO</t>
        </is>
      </c>
      <c r="E3" s="69" t="n">
        <v>20</v>
      </c>
      <c r="F3" s="91" t="inlineStr">
        <is>
          <t>VIDRIO RAJADO</t>
        </is>
      </c>
      <c r="G3" s="77" t="n">
        <v>33</v>
      </c>
      <c r="H3" s="68" t="inlineStr">
        <is>
          <t>DERRAME DE FLUIDOS EXTERIOR</t>
        </is>
      </c>
      <c r="I3" s="99" t="inlineStr">
        <is>
          <t>CODIGO</t>
        </is>
      </c>
      <c r="J3" s="171" t="n"/>
      <c r="K3" s="56" t="n">
        <v>0</v>
      </c>
      <c r="L3" s="17" t="inlineStr">
        <is>
          <t>SIN EXCEPCION</t>
        </is>
      </c>
    </row>
    <row r="4" ht="10" customHeight="1">
      <c r="A4" s="89" t="inlineStr">
        <is>
          <t>01</t>
        </is>
      </c>
      <c r="B4" s="90" t="inlineStr">
        <is>
          <t>DOBLADO</t>
        </is>
      </c>
      <c r="C4" s="77" t="n">
        <v>10</v>
      </c>
      <c r="D4" s="91" t="inlineStr">
        <is>
          <t>INTERIOR MANCHADO/SUCIO</t>
        </is>
      </c>
      <c r="E4" s="69" t="n">
        <v>21</v>
      </c>
      <c r="F4" s="91" t="inlineStr">
        <is>
          <t>VIDRIO ROTO</t>
        </is>
      </c>
      <c r="G4" s="166" t="n"/>
      <c r="H4" s="166" t="n"/>
      <c r="I4" s="84" t="inlineStr">
        <is>
          <t>CODIGO</t>
        </is>
      </c>
      <c r="J4" s="164" t="n"/>
      <c r="K4" s="69" t="n">
        <v>1</v>
      </c>
      <c r="L4" s="90" t="inlineStr">
        <is>
          <t>MENOS DE 25 mm</t>
        </is>
      </c>
    </row>
    <row r="5" ht="10" customHeight="1">
      <c r="A5" s="89" t="inlineStr">
        <is>
          <t>02</t>
        </is>
      </c>
      <c r="B5" s="90" t="inlineStr">
        <is>
          <t>ROTO (EXC. VIDRIOS)</t>
        </is>
      </c>
      <c r="C5" s="166" t="n"/>
      <c r="D5" s="166" t="n"/>
      <c r="E5" s="69" t="n">
        <v>22</v>
      </c>
      <c r="F5" s="91" t="inlineStr">
        <is>
          <t>VIDRIO MELLADO</t>
        </is>
      </c>
      <c r="G5" s="77" t="n">
        <v>34</v>
      </c>
      <c r="H5" s="68" t="inlineStr">
        <is>
          <t>BORDE DE PANEL MELLADO</t>
        </is>
      </c>
      <c r="I5" s="84" t="inlineStr">
        <is>
          <t>CODIGO</t>
        </is>
      </c>
      <c r="J5" s="164" t="n"/>
      <c r="K5" s="69" t="n">
        <v>2</v>
      </c>
      <c r="L5" s="90" t="inlineStr">
        <is>
          <t>DE 25 mm HASTA 75 mm</t>
        </is>
      </c>
    </row>
    <row r="6" ht="10" customHeight="1">
      <c r="A6" s="89" t="inlineStr">
        <is>
          <t>03</t>
        </is>
      </c>
      <c r="B6" s="90" t="inlineStr">
        <is>
          <t>CORTADO</t>
        </is>
      </c>
      <c r="C6" s="69" t="n">
        <v>11</v>
      </c>
      <c r="D6" s="91" t="inlineStr">
        <is>
          <t>PERFORADO</t>
        </is>
      </c>
      <c r="E6" s="69" t="n">
        <v>23</v>
      </c>
      <c r="F6" s="91" t="inlineStr">
        <is>
          <t>VIDRIO RAYADO</t>
        </is>
      </c>
      <c r="G6" s="166" t="n"/>
      <c r="H6" s="166" t="n"/>
      <c r="I6" s="84" t="inlineStr">
        <is>
          <t>CODIGO</t>
        </is>
      </c>
      <c r="J6" s="164" t="n"/>
      <c r="K6" s="69" t="n">
        <v>3</v>
      </c>
      <c r="L6" s="90" t="inlineStr">
        <is>
          <t>MAS DE 75 mm HASTA 150 mm</t>
        </is>
      </c>
    </row>
    <row r="7" ht="12" customHeight="1">
      <c r="A7" s="89" t="inlineStr">
        <is>
          <t>04</t>
        </is>
      </c>
      <c r="B7" s="92" t="inlineStr">
        <is>
          <t>ABOLLADO (PINTURA ROTA O QUEBRADA)</t>
        </is>
      </c>
      <c r="C7" s="77" t="n">
        <v>12</v>
      </c>
      <c r="D7" s="90" t="inlineStr">
        <is>
          <t>RAYADO (EXC. VIDRIOS)</t>
        </is>
      </c>
      <c r="E7" s="69" t="n">
        <v>24</v>
      </c>
      <c r="F7" s="68" t="inlineStr">
        <is>
          <t>LUZ INDICADORA DAÑADA</t>
        </is>
      </c>
      <c r="G7" s="77" t="n">
        <v>35</v>
      </c>
      <c r="H7" s="91" t="inlineStr">
        <is>
          <t>PIEZA INCORRECTA</t>
        </is>
      </c>
      <c r="I7" s="84" t="inlineStr">
        <is>
          <t>CODIGO</t>
        </is>
      </c>
      <c r="J7" s="164" t="n"/>
      <c r="K7" s="69" t="n">
        <v>4</v>
      </c>
      <c r="L7" s="90" t="inlineStr">
        <is>
          <t>MAS DE 150 mm HASTA 300 mm</t>
        </is>
      </c>
    </row>
    <row r="8" ht="10" customHeight="1">
      <c r="A8" s="166" t="n"/>
      <c r="B8" s="166" t="n"/>
      <c r="C8" s="69" t="n">
        <v>13</v>
      </c>
      <c r="D8" s="90" t="inlineStr">
        <is>
          <t>DESGARRADO</t>
        </is>
      </c>
      <c r="E8" s="166" t="n"/>
      <c r="F8" s="166" t="n"/>
      <c r="G8" s="77" t="n">
        <v>36</v>
      </c>
      <c r="H8" s="52" t="inlineStr">
        <is>
          <t>OPCIONAL NO FACTURADO</t>
        </is>
      </c>
      <c r="I8" s="84" t="inlineStr">
        <is>
          <t>CODIGO</t>
        </is>
      </c>
      <c r="J8" s="164" t="n"/>
      <c r="K8" s="69" t="n">
        <v>5</v>
      </c>
      <c r="L8" s="90" t="inlineStr">
        <is>
          <t>MAS DE 300 mm</t>
        </is>
      </c>
    </row>
    <row r="9" ht="20" customHeight="1" thickBot="1">
      <c r="A9" s="89" t="inlineStr">
        <is>
          <t>05</t>
        </is>
      </c>
      <c r="B9" s="90" t="inlineStr">
        <is>
          <t>MELLADO (EXC. VIDRIO Y BLOQUE DE PANEL)</t>
        </is>
      </c>
      <c r="C9" s="69" t="n">
        <v>14</v>
      </c>
      <c r="D9" s="90" t="inlineStr">
        <is>
          <t>ABOLLADO (PINTURA/ CROMADO NO DAÑADO)</t>
        </is>
      </c>
      <c r="E9" s="69" t="n">
        <v>25</v>
      </c>
      <c r="F9" s="68" t="inlineStr">
        <is>
          <t>DAÑO EN CALCOMANIA FRANJA DE PINTURA/VETA DE MADERA</t>
        </is>
      </c>
      <c r="G9" s="77" t="n">
        <v>37</v>
      </c>
      <c r="H9" s="68" t="inlineStr">
        <is>
          <t>HERRAJES EXT. DAÑADOS</t>
        </is>
      </c>
      <c r="I9" s="85" t="inlineStr">
        <is>
          <t>CODIGO</t>
        </is>
      </c>
      <c r="J9" s="169" t="n"/>
      <c r="K9" s="57" t="n">
        <v>6</v>
      </c>
      <c r="L9" s="21" t="inlineStr">
        <is>
          <t>PUEDE REQUERIR REEMPLAZO / DAÑO SEVERO/FALTANTE</t>
        </is>
      </c>
    </row>
    <row r="10" ht="22" customHeight="1" thickBot="1">
      <c r="A10" s="89" t="inlineStr">
        <is>
          <t>06</t>
        </is>
      </c>
      <c r="B10" s="90" t="inlineStr">
        <is>
          <t>QUEBRADO (EXC. VIDRIO)</t>
        </is>
      </c>
      <c r="C10" s="69" t="n">
        <v>15</v>
      </c>
      <c r="D10" s="68" t="inlineStr">
        <is>
          <t>MOLDURA/BURL/EMB DAÑADO</t>
        </is>
      </c>
      <c r="E10" s="165" t="n"/>
      <c r="F10" s="165" t="n"/>
      <c r="G10" s="166" t="n"/>
      <c r="H10" s="166" t="n"/>
      <c r="I10" s="14" t="n"/>
      <c r="J10" s="86" t="inlineStr">
        <is>
          <t>UNIDAD CARGADA CON LLUVIA</t>
        </is>
      </c>
      <c r="K10" s="173" t="n"/>
      <c r="L10" s="174" t="n"/>
    </row>
    <row r="11" ht="11" customHeight="1">
      <c r="A11" s="89" t="inlineStr">
        <is>
          <t>07</t>
        </is>
      </c>
      <c r="B11" s="90" t="inlineStr">
        <is>
          <t>ROZADO</t>
        </is>
      </c>
      <c r="C11" s="166" t="n"/>
      <c r="D11" s="166" t="n"/>
      <c r="E11" s="166" t="n"/>
      <c r="F11" s="166" t="n"/>
      <c r="G11" s="77" t="n">
        <v>38</v>
      </c>
      <c r="H11" s="76" t="inlineStr">
        <is>
          <t>HERRAJES EXT. SUELTOS O DAÑADOS</t>
        </is>
      </c>
      <c r="I11" s="22" t="n"/>
      <c r="J11" s="4" t="n"/>
      <c r="K11" s="4" t="n"/>
      <c r="L11" s="23" t="n"/>
    </row>
    <row r="12" ht="5" customHeight="1">
      <c r="A12" s="89" t="inlineStr">
        <is>
          <t>08</t>
        </is>
      </c>
      <c r="B12" s="90" t="inlineStr">
        <is>
          <t>FALTANTE (EXC. MOLDURAS)</t>
        </is>
      </c>
      <c r="C12" s="77" t="n">
        <v>19</v>
      </c>
      <c r="D12" s="91" t="inlineStr">
        <is>
          <t>MOLDURA/BURLETE/EMB SUELTO O FALTANTE</t>
        </is>
      </c>
      <c r="E12" s="175" t="inlineStr">
        <is>
          <t>O. Origen / O. Destino</t>
        </is>
      </c>
      <c r="F12" s="169" t="n"/>
      <c r="G12" s="165" t="n"/>
      <c r="H12" s="176" t="n"/>
      <c r="I12" s="17" t="n"/>
      <c r="L12" s="177" t="n"/>
    </row>
    <row r="13" ht="5" customHeight="1">
      <c r="A13" s="165" t="n"/>
      <c r="B13" s="165" t="n"/>
      <c r="C13" s="165" t="n"/>
      <c r="D13" s="165" t="n"/>
      <c r="E13" s="176" t="n"/>
      <c r="F13" s="177" t="n"/>
      <c r="G13" s="166" t="n"/>
      <c r="H13" s="172" t="n"/>
      <c r="I13" s="176" t="n"/>
      <c r="L13" s="177" t="n"/>
    </row>
    <row r="14" ht="6" customHeight="1">
      <c r="A14" s="165" t="n"/>
      <c r="B14" s="165" t="n"/>
      <c r="C14" s="165" t="n"/>
      <c r="D14" s="165" t="n"/>
      <c r="E14" s="176" t="n"/>
      <c r="F14" s="177" t="n"/>
      <c r="G14" s="77" t="n">
        <v>39</v>
      </c>
      <c r="H14" s="76" t="inlineStr">
        <is>
          <t>DEFECTO DE FABRICA</t>
        </is>
      </c>
      <c r="I14" s="176" t="n"/>
      <c r="L14" s="177" t="n"/>
    </row>
    <row r="15" ht="4" customHeight="1">
      <c r="A15" s="165" t="n"/>
      <c r="B15" s="165" t="n"/>
      <c r="C15" s="165" t="n"/>
      <c r="D15" s="165" t="n"/>
      <c r="E15" s="176" t="n"/>
      <c r="F15" s="177" t="n"/>
      <c r="G15" s="165" t="n"/>
      <c r="H15" s="176" t="n"/>
      <c r="I15" s="176" t="n"/>
      <c r="L15" s="177" t="n"/>
    </row>
    <row r="16" ht="2" customHeight="1">
      <c r="A16" s="166" t="n"/>
      <c r="B16" s="166" t="n"/>
      <c r="C16" s="166" t="n"/>
      <c r="D16" s="166" t="n"/>
      <c r="E16" s="172" t="n"/>
      <c r="F16" s="171" t="n"/>
      <c r="G16" s="166" t="n"/>
      <c r="H16" s="172" t="n"/>
      <c r="I16" s="172" t="n"/>
      <c r="J16" s="170" t="n"/>
      <c r="K16" s="170" t="n"/>
      <c r="L16" s="171" t="n"/>
    </row>
  </sheetData>
  <mergeCells count="37">
    <mergeCell ref="A12:A16"/>
    <mergeCell ref="I6:J6"/>
    <mergeCell ref="H9:H10"/>
    <mergeCell ref="C4:C5"/>
    <mergeCell ref="E12:F16"/>
    <mergeCell ref="D12:D16"/>
    <mergeCell ref="A7:A8"/>
    <mergeCell ref="G14:G16"/>
    <mergeCell ref="C10:C11"/>
    <mergeCell ref="A1:H1"/>
    <mergeCell ref="F9:F11"/>
    <mergeCell ref="I7:J7"/>
    <mergeCell ref="D4:D5"/>
    <mergeCell ref="G3:G4"/>
    <mergeCell ref="H14:H16"/>
    <mergeCell ref="I3:J3"/>
    <mergeCell ref="G5:G6"/>
    <mergeCell ref="G11:G13"/>
    <mergeCell ref="A2:H2"/>
    <mergeCell ref="H3:H4"/>
    <mergeCell ref="B12:B16"/>
    <mergeCell ref="I5:J5"/>
    <mergeCell ref="E7:E8"/>
    <mergeCell ref="I8:J8"/>
    <mergeCell ref="I1:L2"/>
    <mergeCell ref="G9:G10"/>
    <mergeCell ref="I4:J4"/>
    <mergeCell ref="D10:D11"/>
    <mergeCell ref="H5:H6"/>
    <mergeCell ref="J10:L10"/>
    <mergeCell ref="H11:H13"/>
    <mergeCell ref="B7:B8"/>
    <mergeCell ref="C12:C16"/>
    <mergeCell ref="F7:F8"/>
    <mergeCell ref="I12:L16"/>
    <mergeCell ref="I9:J9"/>
    <mergeCell ref="E9:E11"/>
  </mergeCells>
  <pageMargins left="0" right="0" top="0.5" bottom="0.5" header="0" footer="0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tabSelected="1" zoomScale="150" workbookViewId="0">
      <selection activeCell="A2" sqref="A2:D7"/>
    </sheetView>
  </sheetViews>
  <sheetFormatPr baseColWidth="10" defaultRowHeight="11"/>
  <cols>
    <col width="10.83203125" customWidth="1" style="4" min="1" max="16384"/>
  </cols>
  <sheetData>
    <row r="1" ht="11" customHeight="1">
      <c r="A1" s="178" t="inlineStr">
        <is>
          <t>OBSERVACIONES DE ORIGEN</t>
        </is>
      </c>
      <c r="B1" s="167" t="n"/>
      <c r="C1" s="167" t="n"/>
      <c r="D1" s="164" t="n"/>
      <c r="E1" s="178" t="inlineStr">
        <is>
          <t>OBSERVACIONES DE DESTINO</t>
        </is>
      </c>
      <c r="F1" s="167" t="n"/>
      <c r="G1" s="167" t="n"/>
      <c r="H1" s="164" t="n"/>
    </row>
    <row r="2" ht="11" customHeight="1">
      <c r="A2" s="179" t="inlineStr">
        <is>
          <t>(68) Alfombra - Delantera (08) Faltante Otros</t>
        </is>
      </c>
      <c r="B2" s="168" t="n"/>
      <c r="C2" s="168" t="n"/>
      <c r="D2" s="169" t="n"/>
      <c r="E2" s="180" t="n"/>
      <c r="F2" s="168" t="n"/>
      <c r="G2" s="168" t="n"/>
      <c r="H2" s="169" t="n"/>
    </row>
    <row r="3" ht="11" customHeight="1">
      <c r="A3" s="176" t="n"/>
      <c r="D3" s="177" t="n"/>
      <c r="E3" s="176" t="n"/>
      <c r="H3" s="177" t="n"/>
    </row>
    <row r="4" ht="11" customHeight="1">
      <c r="A4" s="176" t="n"/>
      <c r="D4" s="177" t="n"/>
      <c r="E4" s="176" t="n"/>
      <c r="H4" s="177" t="n"/>
    </row>
    <row r="5" ht="11" customHeight="1">
      <c r="A5" s="176" t="n"/>
      <c r="D5" s="177" t="n"/>
      <c r="E5" s="176" t="n"/>
      <c r="H5" s="177" t="n"/>
    </row>
    <row r="6" ht="11" customHeight="1">
      <c r="A6" s="176" t="n"/>
      <c r="D6" s="177" t="n"/>
      <c r="E6" s="176" t="n"/>
      <c r="H6" s="177" t="n"/>
    </row>
    <row r="7" ht="11" customHeight="1">
      <c r="A7" s="172" t="n"/>
      <c r="B7" s="170" t="n"/>
      <c r="C7" s="170" t="n"/>
      <c r="D7" s="171" t="n"/>
      <c r="E7" s="172" t="n"/>
      <c r="F7" s="170" t="n"/>
      <c r="G7" s="170" t="n"/>
      <c r="H7" s="171" t="n"/>
    </row>
    <row r="8" ht="11" customHeight="1">
      <c r="A8" s="178" t="inlineStr">
        <is>
          <t>FIRMA CHOFER</t>
        </is>
      </c>
      <c r="B8" s="167" t="n"/>
      <c r="C8" s="167" t="n"/>
      <c r="D8" s="164" t="n"/>
      <c r="E8" s="178" t="inlineStr">
        <is>
          <t>FIRMA Y SELLO DEL CONCESIONARIO</t>
        </is>
      </c>
      <c r="F8" s="167" t="n"/>
      <c r="G8" s="167" t="n"/>
      <c r="H8" s="164" t="n"/>
    </row>
    <row r="9">
      <c r="A9" s="18" t="n"/>
      <c r="B9" s="19" t="n"/>
      <c r="C9" s="19" t="n"/>
      <c r="D9" s="20" t="n"/>
      <c r="E9" s="18" t="n"/>
      <c r="F9" s="19" t="n"/>
      <c r="G9" s="19" t="n"/>
      <c r="H9" s="20" t="n"/>
    </row>
    <row r="10">
      <c r="A10" s="22" t="n"/>
      <c r="D10" s="23" t="n"/>
      <c r="E10" s="22" t="n"/>
      <c r="H10" s="23" t="n"/>
    </row>
    <row r="11">
      <c r="A11" s="27" t="n"/>
      <c r="B11" s="28" t="n"/>
      <c r="C11" s="28" t="n"/>
      <c r="D11" s="29" t="n"/>
      <c r="E11" s="27" t="n"/>
      <c r="F11" s="28" t="n"/>
      <c r="G11" s="28" t="n"/>
      <c r="H11" s="29" t="n"/>
    </row>
    <row r="12">
      <c r="A12" s="7" t="inlineStr">
        <is>
          <t>PFC 7.5/01</t>
        </is>
      </c>
      <c r="B12" s="5" t="n"/>
      <c r="C12" s="5" t="n"/>
      <c r="D12" s="6" t="n"/>
      <c r="E12" s="103" t="inlineStr">
        <is>
          <t>FECHA</t>
        </is>
      </c>
      <c r="F12" s="167" t="n"/>
      <c r="G12" s="105" t="inlineStr">
        <is>
          <t>HORA</t>
        </is>
      </c>
      <c r="H12" s="164" t="n"/>
    </row>
    <row r="13">
      <c r="A13" s="126" t="inlineStr">
        <is>
          <t>CAI Nro. 51314214127305</t>
        </is>
      </c>
      <c r="B13" s="168" t="n"/>
      <c r="C13" s="124" t="inlineStr">
        <is>
          <t>VENCIMIENTO 27/01/2026</t>
        </is>
      </c>
      <c r="D13" s="168" t="n"/>
      <c r="E13" s="125" t="inlineStr">
        <is>
          <t>IMPRENTA COOPTACORD LTDA</t>
        </is>
      </c>
      <c r="F13" s="168" t="n"/>
      <c r="G13" s="124" t="inlineStr">
        <is>
          <t>AUTOIMPRESORES RG 100 AFIP</t>
        </is>
      </c>
      <c r="H13" s="168" t="n"/>
    </row>
  </sheetData>
  <mergeCells count="12">
    <mergeCell ref="A1:D1"/>
    <mergeCell ref="E12:F12"/>
    <mergeCell ref="G12:H12"/>
    <mergeCell ref="A8:D8"/>
    <mergeCell ref="E8:H8"/>
    <mergeCell ref="A13:B13"/>
    <mergeCell ref="E13:F13"/>
    <mergeCell ref="C13:D13"/>
    <mergeCell ref="A2:D7"/>
    <mergeCell ref="E1:H1"/>
    <mergeCell ref="E2:H7"/>
    <mergeCell ref="G13:H13"/>
  </mergeCells>
  <pageMargins left="0" right="0" top="0" bottom="0" header="0" footer="0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9"/>
  <sheetViews>
    <sheetView showGridLines="0" zoomScale="176" workbookViewId="0">
      <selection activeCell="T18" sqref="T18:U18"/>
    </sheetView>
  </sheetViews>
  <sheetFormatPr baseColWidth="10" defaultColWidth="2.83203125" defaultRowHeight="11"/>
  <cols>
    <col width="2.83203125" customWidth="1" style="1" min="1" max="15"/>
    <col width="2.83203125" customWidth="1" style="1" min="16" max="16"/>
    <col width="2.83203125" customWidth="1" style="1" min="17" max="16384"/>
  </cols>
  <sheetData>
    <row r="1" ht="17" customFormat="1" customHeight="1" s="4">
      <c r="M1" s="181" t="inlineStr">
        <is>
          <t>R</t>
        </is>
      </c>
      <c r="N1" s="168" t="n"/>
      <c r="O1" s="169" t="n"/>
      <c r="T1" s="31" t="inlineStr">
        <is>
          <t>ORIGINAL</t>
        </is>
      </c>
      <c r="Z1" s="182" t="inlineStr">
        <is>
          <t>CARTA DE PORTE</t>
        </is>
      </c>
      <c r="AA1" s="168" t="n"/>
      <c r="AB1" s="168" t="n"/>
      <c r="AC1" s="168" t="n"/>
      <c r="AD1" s="168" t="n"/>
      <c r="AE1" s="168" t="n"/>
      <c r="AF1" s="169" t="n"/>
    </row>
    <row r="2" ht="24" customFormat="1" customHeight="1" s="4">
      <c r="G2" s="30" t="n"/>
      <c r="M2" s="176" t="n"/>
      <c r="O2" s="177" t="n"/>
      <c r="Q2" s="41">
        <f>(Q3)</f>
        <v/>
      </c>
      <c r="Z2" s="172" t="n"/>
      <c r="AA2" s="170" t="n"/>
      <c r="AB2" s="170" t="n"/>
      <c r="AC2" s="170" t="n"/>
      <c r="AD2" s="170" t="n"/>
      <c r="AE2" s="170" t="n"/>
      <c r="AF2" s="171" t="n"/>
    </row>
    <row r="3" ht="10" customFormat="1" customHeight="1" s="4">
      <c r="A3" s="154" t="inlineStr">
        <is>
          <t>Cooperativa de Previsión de Servicios para</t>
        </is>
      </c>
      <c r="M3" s="172" t="n"/>
      <c r="N3" s="170" t="n"/>
      <c r="O3" s="171" t="n"/>
      <c r="Q3" s="143" t="inlineStr">
        <is>
          <t>*201101475498*</t>
        </is>
      </c>
      <c r="Z3" s="183" t="inlineStr">
        <is>
          <t>122dd2</t>
        </is>
      </c>
      <c r="AA3" s="168" t="n"/>
      <c r="AB3" s="168" t="n"/>
      <c r="AC3" s="168" t="n"/>
      <c r="AD3" s="168" t="n"/>
      <c r="AE3" s="168" t="n"/>
      <c r="AF3" s="169" t="n"/>
    </row>
    <row r="4" ht="11" customFormat="1" customHeight="1" s="4">
      <c r="A4" s="153" t="inlineStr">
        <is>
          <t>Consumo y Crédito de Córdoba Sta. Isabel Ltda.</t>
        </is>
      </c>
      <c r="Z4" s="172" t="n"/>
      <c r="AA4" s="170" t="n"/>
      <c r="AB4" s="170" t="n"/>
      <c r="AC4" s="170" t="n"/>
      <c r="AD4" s="170" t="n"/>
      <c r="AE4" s="170" t="n"/>
      <c r="AF4" s="171" t="n"/>
    </row>
    <row r="5" ht="13" customFormat="1" customHeight="1" s="4">
      <c r="A5" s="7" t="n"/>
      <c r="B5" s="5" t="n"/>
      <c r="C5" s="47" t="inlineStr">
        <is>
          <t>CUIT Nro. 30-55827320-4</t>
        </is>
      </c>
      <c r="D5" s="5" t="n"/>
      <c r="E5" s="5" t="n"/>
      <c r="F5" s="47" t="n"/>
      <c r="G5" s="47" t="n"/>
      <c r="H5" s="47" t="n"/>
      <c r="I5" s="47" t="n"/>
      <c r="J5" s="47" t="n"/>
      <c r="K5" s="47" t="inlineStr">
        <is>
          <t>Ing. Brutos Nro. 904-230892-6</t>
        </is>
      </c>
      <c r="L5" s="47" t="n"/>
      <c r="M5" s="47" t="n"/>
      <c r="N5" s="47" t="n"/>
      <c r="O5" s="47" t="n"/>
      <c r="P5" s="47" t="n"/>
      <c r="Q5" s="47" t="n"/>
      <c r="R5" s="47" t="inlineStr">
        <is>
          <t>Fecha de Inicio de Actividades 05-01-75</t>
        </is>
      </c>
      <c r="S5" s="5" t="n"/>
      <c r="T5" s="5" t="n"/>
      <c r="U5" s="5" t="n"/>
      <c r="V5" s="5" t="n"/>
      <c r="W5" s="5" t="n"/>
      <c r="X5" s="5" t="n"/>
      <c r="Y5" s="6" t="n"/>
      <c r="Z5" s="32" t="n"/>
      <c r="AA5" s="33" t="inlineStr">
        <is>
          <t>FECHA</t>
        </is>
      </c>
      <c r="AB5" s="33" t="n"/>
      <c r="AC5" s="33" t="n"/>
      <c r="AD5" s="184" t="inlineStr">
        <is>
          <t>02/02/26, 01:52</t>
        </is>
      </c>
      <c r="AE5" s="167" t="n"/>
      <c r="AF5" s="164" t="n"/>
    </row>
    <row r="6">
      <c r="A6" s="42" t="inlineStr">
        <is>
          <t>Administración Central  Playa Sta. Isabel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inlineStr">
        <is>
          <t>Honduras 87</t>
        </is>
      </c>
      <c r="K6" s="43" t="n"/>
      <c r="L6" s="43" t="n"/>
      <c r="M6" s="43" t="n"/>
      <c r="N6" s="43" t="n"/>
      <c r="O6" s="43" t="n"/>
      <c r="P6" s="43" t="inlineStr">
        <is>
          <t>Tel. Y Fax 0351-4940729/0511/5696/5697</t>
        </is>
      </c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inlineStr">
        <is>
          <t>(X5017BFA) Córdoba</t>
        </is>
      </c>
      <c r="AA6" s="43" t="n"/>
      <c r="AB6" s="43" t="n"/>
      <c r="AC6" s="43" t="n"/>
      <c r="AD6" s="43" t="n"/>
      <c r="AE6" s="43" t="n"/>
      <c r="AF6" s="44" t="n"/>
    </row>
    <row r="7" ht="1" customHeight="1">
      <c r="A7" s="45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46" t="n"/>
    </row>
    <row r="8" ht="12" customHeight="1">
      <c r="A8" s="48" t="inlineStr">
        <is>
          <t>Administración Playa Malvinas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49" t="inlineStr">
        <is>
          <t>Av. Olivo 4114 - Tortuguitas</t>
        </is>
      </c>
      <c r="K8" s="49" t="n"/>
      <c r="L8" s="49" t="n"/>
      <c r="M8" s="49" t="n"/>
      <c r="N8" s="49" t="n"/>
      <c r="O8" s="49" t="n"/>
      <c r="P8" s="49" t="inlineStr">
        <is>
          <t>Tel./Fax 03327 445546 al 49</t>
        </is>
      </c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inlineStr">
        <is>
          <t>(B1677AUT) Buenos Aires</t>
        </is>
      </c>
      <c r="AA8" s="49" t="n"/>
      <c r="AB8" s="49" t="n"/>
      <c r="AC8" s="49" t="n"/>
      <c r="AD8" s="49" t="n"/>
      <c r="AE8" s="49" t="n"/>
      <c r="AF8" s="50" t="n"/>
    </row>
    <row r="9">
      <c r="A9" s="24" t="inlineStr">
        <is>
          <t>POR CUENTA Y ORDEN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6" t="n"/>
      <c r="V9" s="24" t="inlineStr">
        <is>
          <t>CUIT</t>
        </is>
      </c>
      <c r="W9" s="25" t="n"/>
      <c r="X9" s="25" t="n"/>
      <c r="Y9" s="25" t="n"/>
      <c r="Z9" s="25" t="n"/>
      <c r="AA9" s="25" t="n"/>
      <c r="AB9" s="26" t="n"/>
      <c r="AC9" s="24" t="inlineStr">
        <is>
          <t>Cód. Cliente</t>
        </is>
      </c>
      <c r="AD9" s="25" t="n"/>
      <c r="AE9" s="25" t="n"/>
      <c r="AF9" s="26" t="n"/>
    </row>
    <row r="10">
      <c r="A10" s="7" t="inlineStr">
        <is>
          <t>HONDA MOTOR DE ARGENTINA S.A.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6" t="n"/>
      <c r="V10" s="185" t="inlineStr">
        <is>
          <t>30-57754677-7</t>
        </is>
      </c>
      <c r="W10" s="167" t="n"/>
      <c r="X10" s="167" t="n"/>
      <c r="Y10" s="167" t="n"/>
      <c r="Z10" s="167" t="n"/>
      <c r="AA10" s="167" t="n"/>
      <c r="AB10" s="164" t="n"/>
      <c r="AC10" s="185" t="inlineStr">
        <is>
          <t>134001</t>
        </is>
      </c>
      <c r="AD10" s="167" t="n"/>
      <c r="AE10" s="167" t="n"/>
      <c r="AF10" s="164" t="n"/>
    </row>
    <row r="11">
      <c r="A11" s="24" t="inlineStr">
        <is>
          <t>ORIGEN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6" t="n"/>
      <c r="K11" s="24" t="inlineStr">
        <is>
          <t>DOMICILIO ORIGEN</t>
        </is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6" t="n"/>
      <c r="AC11" s="186" t="inlineStr">
        <is>
          <t>CUIT</t>
        </is>
      </c>
      <c r="AD11" s="167" t="n"/>
      <c r="AE11" s="167" t="n"/>
      <c r="AF11" s="164" t="n"/>
    </row>
    <row r="12">
      <c r="A12" s="7" t="inlineStr">
        <is>
          <t>El Molino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7" t="inlineStr">
        <is>
          <t>Ent. Centro Industrial Zarate. Km 3,5. Zarate, Buenos Aires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6" t="n"/>
      <c r="AC12" s="185" t="inlineStr">
        <is>
          <t>30-70989193-2</t>
        </is>
      </c>
      <c r="AD12" s="167" t="n"/>
      <c r="AE12" s="167" t="n"/>
      <c r="AF12" s="164" t="n"/>
    </row>
    <row r="13">
      <c r="A13" s="24" t="inlineStr">
        <is>
          <t>DESTINO</t>
        </is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6" t="n"/>
      <c r="K13" s="24" t="inlineStr">
        <is>
          <t>DOMICILIO DESTINO</t>
        </is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6" t="n"/>
      <c r="AC13" s="186" t="inlineStr">
        <is>
          <t>CUIT</t>
        </is>
      </c>
      <c r="AD13" s="167" t="n"/>
      <c r="AE13" s="167" t="n"/>
      <c r="AF13" s="164" t="n"/>
    </row>
    <row r="14">
      <c r="A14" s="7" t="inlineStr">
        <is>
          <t>AUTOTAG S.A.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7" t="inlineStr">
        <is>
          <t>AVDA. CALCHAQUI 252 BERAZATEGUI - (Pcia. BUENOS AIRES)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6" t="n"/>
      <c r="AC14" s="185" t="inlineStr">
        <is>
          <t>30-71096342-4</t>
        </is>
      </c>
      <c r="AD14" s="167" t="n"/>
      <c r="AE14" s="167" t="n"/>
      <c r="AF14" s="164" t="n"/>
    </row>
    <row r="15">
      <c r="A15" s="24" t="inlineStr">
        <is>
          <t>MODELO</t>
        </is>
      </c>
      <c r="B15" s="25" t="n"/>
      <c r="C15" s="25" t="n"/>
      <c r="D15" s="25" t="n"/>
      <c r="E15" s="25" t="n"/>
      <c r="F15" s="25" t="n"/>
      <c r="G15" s="25" t="n"/>
      <c r="H15" s="26" t="n"/>
      <c r="I15" s="24" t="inlineStr">
        <is>
          <t>Nro. DE VIN / DOMINIO</t>
        </is>
      </c>
      <c r="J15" s="25" t="n"/>
      <c r="K15" s="25" t="n"/>
      <c r="L15" s="25" t="n"/>
      <c r="M15" s="25" t="n"/>
      <c r="N15" s="25" t="n"/>
      <c r="O15" s="26" t="n"/>
      <c r="P15" s="24" t="inlineStr">
        <is>
          <t>Nro. REMITO</t>
        </is>
      </c>
      <c r="Q15" s="25" t="n"/>
      <c r="R15" s="25" t="n"/>
      <c r="S15" s="25" t="n"/>
      <c r="T15" s="25" t="n"/>
      <c r="U15" s="26" t="n"/>
      <c r="V15" s="24" t="inlineStr">
        <is>
          <t>FECHA REMITO</t>
        </is>
      </c>
      <c r="W15" s="25" t="n"/>
      <c r="X15" s="25" t="n"/>
      <c r="Y15" s="26" t="n"/>
      <c r="Z15" s="24" t="inlineStr">
        <is>
          <t>PCU</t>
        </is>
      </c>
      <c r="AA15" s="25" t="n"/>
      <c r="AB15" s="26" t="n"/>
      <c r="AC15" s="24" t="inlineStr">
        <is>
          <t>PAIS</t>
        </is>
      </c>
      <c r="AD15" s="25" t="n"/>
      <c r="AE15" s="25" t="n"/>
      <c r="AF15" s="26" t="n"/>
    </row>
    <row r="16">
      <c r="A16" s="7" t="inlineStr">
        <is>
          <t>VERIFICAR</t>
        </is>
      </c>
      <c r="B16" s="5" t="n"/>
      <c r="C16" s="5" t="n"/>
      <c r="D16" s="5" t="n"/>
      <c r="E16" s="5" t="n"/>
      <c r="F16" s="5" t="n"/>
      <c r="G16" s="5" t="n"/>
      <c r="H16" s="6" t="n"/>
      <c r="I16" s="7" t="inlineStr">
        <is>
          <t>93HRVTEST00000000</t>
        </is>
      </c>
      <c r="J16" s="5" t="n"/>
      <c r="K16" s="5" t="n"/>
      <c r="L16" s="5" t="n"/>
      <c r="M16" s="5" t="n"/>
      <c r="N16" s="5" t="n"/>
      <c r="O16" s="6" t="n"/>
      <c r="P16" s="7" t="n"/>
      <c r="Q16" s="5" t="n"/>
      <c r="R16" s="5" t="n"/>
      <c r="S16" s="5" t="n"/>
      <c r="T16" s="5" t="n"/>
      <c r="U16" s="6" t="n"/>
      <c r="V16" s="187" t="inlineStr">
        <is>
          <t>2026-02-04</t>
        </is>
      </c>
      <c r="W16" s="167" t="n"/>
      <c r="X16" s="167" t="n"/>
      <c r="Y16" s="164" t="n"/>
      <c r="Z16" s="7" t="n"/>
      <c r="AA16" s="5" t="n"/>
      <c r="AB16" s="6" t="n"/>
      <c r="AC16" s="51" t="inlineStr">
        <is>
          <t>Sin dato</t>
        </is>
      </c>
      <c r="AD16" s="5" t="n"/>
      <c r="AE16" s="5" t="n"/>
      <c r="AF16" s="6" t="n"/>
    </row>
    <row r="17" ht="3" customHeight="1">
      <c r="A17" s="2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23" t="n"/>
    </row>
    <row r="18" ht="21" customHeight="1">
      <c r="A18" s="40">
        <f>(A19)</f>
        <v/>
      </c>
      <c r="Q18" s="188" t="inlineStr">
        <is>
          <t>EQUIPO</t>
        </is>
      </c>
      <c r="R18" s="167" t="n"/>
      <c r="S18" s="164" t="n"/>
      <c r="T18" s="61" t="inlineStr"/>
      <c r="U18" s="164" t="n"/>
      <c r="V18" s="36" t="inlineStr">
        <is>
          <t>Por auto</t>
        </is>
      </c>
      <c r="W18" s="37" t="n"/>
      <c r="X18" s="37" t="n"/>
      <c r="Y18" s="37" t="n"/>
      <c r="Z18" s="37" t="n"/>
      <c r="AA18" s="37" t="n"/>
      <c r="AB18" s="38" t="n"/>
      <c r="AC18" s="39" t="n"/>
      <c r="AD18" s="34" t="n"/>
      <c r="AE18" s="34" t="n"/>
      <c r="AF18" s="35" t="n"/>
    </row>
    <row r="19">
      <c r="A19" s="189">
        <f>"*"&amp;I16&amp;"*"</f>
        <v/>
      </c>
      <c r="B19" s="170" t="n"/>
      <c r="C19" s="170" t="n"/>
      <c r="D19" s="170" t="n"/>
      <c r="E19" s="170" t="n"/>
      <c r="F19" s="170" t="n"/>
      <c r="G19" s="170" t="n"/>
      <c r="H19" s="170" t="n"/>
      <c r="I19" s="170" t="n"/>
      <c r="J19" s="170" t="n"/>
      <c r="K19" s="170" t="n"/>
      <c r="L19" s="170" t="n"/>
      <c r="M19" s="170" t="n"/>
      <c r="N19" s="170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/>
    </row>
  </sheetData>
  <mergeCells count="17">
    <mergeCell ref="AC14:AF14"/>
    <mergeCell ref="AC13:AF13"/>
    <mergeCell ref="M1:O3"/>
    <mergeCell ref="Q3:X3"/>
    <mergeCell ref="AD5:AF5"/>
    <mergeCell ref="A3:J3"/>
    <mergeCell ref="Q18:S18"/>
    <mergeCell ref="AC12:AF12"/>
    <mergeCell ref="V16:Y16"/>
    <mergeCell ref="A4:J4"/>
    <mergeCell ref="A19:N19"/>
    <mergeCell ref="T18:U18"/>
    <mergeCell ref="AC10:AF10"/>
    <mergeCell ref="Z1:AF2"/>
    <mergeCell ref="V10:AB10"/>
    <mergeCell ref="AC11:AF11"/>
    <mergeCell ref="Z3:AF4"/>
  </mergeCells>
  <pageMargins left="0" right="0" top="0.5" bottom="0.5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2026-02-02T04:52:35Z</dcterms:modified>
  <cp:lastModifiedBy>Sebastián Elsener</cp:lastModifiedBy>
  <cp:lastPrinted>2026-02-01T01:14:15Z</cp:lastPrinted>
</cp:coreProperties>
</file>